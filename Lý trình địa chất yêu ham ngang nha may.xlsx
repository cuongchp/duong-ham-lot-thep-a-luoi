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ONG\VAN HANH\KE HOACH THAO NUOC HAM 2027\Mang xong va dia chat yeu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C3" i="1"/>
  <c r="B4" i="1" s="1"/>
  <c r="C4" i="1" s="1"/>
  <c r="B5" i="1" s="1"/>
  <c r="C5" i="1" s="1"/>
  <c r="B6" i="1" s="1"/>
  <c r="C6" i="1" s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3" i="1" l="1"/>
</calcChain>
</file>

<file path=xl/sharedStrings.xml><?xml version="1.0" encoding="utf-8"?>
<sst xmlns="http://schemas.openxmlformats.org/spreadsheetml/2006/main" count="15" uniqueCount="9">
  <si>
    <t>Stt</t>
  </si>
  <si>
    <t>Lý trình</t>
  </si>
  <si>
    <t>Phân đoạn</t>
  </si>
  <si>
    <t>Ghi chú</t>
  </si>
  <si>
    <t>Chiều dài (m)</t>
  </si>
  <si>
    <t>Thép dày 20mm</t>
  </si>
  <si>
    <t>Thép dày 18mm</t>
  </si>
  <si>
    <t>Thép dày 38mm</t>
  </si>
  <si>
    <t>Bảng thống kê vị trí địa chất hầm gặp đứt gãy đoạn hầm ngang nhà máy thủy điện A Lưới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</si>
</sst>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KM11+&quot;#,##0.00\ "/>
  </numFmts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1" sqref="F11"/>
    </sheetView>
  </sheetViews>
  <sheetFormatPr defaultRowHeight="14" x14ac:dyDescent="0.3"/>
  <cols>
    <col min="1" max="1" width="7.7265625" style="1" customWidth="1"/>
    <col min="2" max="2" width="15.36328125" style="1" customWidth="1"/>
    <col min="3" max="3" width="13.6328125" style="1" customWidth="1"/>
    <col min="4" max="4" width="13.36328125" style="1" customWidth="1"/>
    <col min="5" max="5" width="13.1796875" style="1" customWidth="1"/>
    <col min="6" max="6" width="22.36328125" style="1" customWidth="1"/>
    <col min="7" max="16384" width="8.7265625" style="1"/>
  </cols>
  <sheetData>
    <row r="1" spans="1:6" s="6" customFormat="1" x14ac:dyDescent="0.3">
      <c r="A1" s="7" t="s">
        <v>8</v>
      </c>
      <c r="B1" s="7"/>
      <c r="C1" s="7"/>
      <c r="D1" s="7"/>
      <c r="E1" s="7"/>
      <c r="F1" s="7"/>
    </row>
    <row r="2" spans="1:6" x14ac:dyDescent="0.3">
      <c r="A2" s="2" t="s">
        <v>0</v>
      </c>
      <c r="B2" s="4" t="s">
        <v>1</v>
      </c>
      <c r="C2" s="5"/>
      <c r="D2" s="2" t="s">
        <v>4</v>
      </c>
      <c r="E2" s="2" t="s">
        <v>2</v>
      </c>
      <c r="F2" s="2" t="s">
        <v>3</v>
      </c>
    </row>
    <row r="3" spans="1:6" x14ac:dyDescent="0.3">
      <c r="A3" s="2">
        <v>1</v>
      </c>
      <c r="B3" s="3">
        <f>C3-D3</f>
        <v>81.44</v>
      </c>
      <c r="C3" s="3">
        <f>106.26-22.07</f>
        <v>84.19</v>
      </c>
      <c r="D3" s="2">
        <v>2.75</v>
      </c>
      <c r="E3" s="2">
        <v>5</v>
      </c>
      <c r="F3" s="2" t="s">
        <v>6</v>
      </c>
    </row>
    <row r="4" spans="1:6" x14ac:dyDescent="0.3">
      <c r="A4" s="2">
        <f>A3+1</f>
        <v>2</v>
      </c>
      <c r="B4" s="3">
        <f>C3+22.07+99.63</f>
        <v>205.89</v>
      </c>
      <c r="C4" s="3">
        <f>B4+D4</f>
        <v>207.82999999999998</v>
      </c>
      <c r="D4" s="2">
        <v>1.94</v>
      </c>
      <c r="E4" s="2">
        <v>5</v>
      </c>
      <c r="F4" s="2" t="s">
        <v>6</v>
      </c>
    </row>
    <row r="5" spans="1:6" x14ac:dyDescent="0.3">
      <c r="A5" s="2">
        <f t="shared" ref="A5:A11" si="0">A4+1</f>
        <v>3</v>
      </c>
      <c r="B5" s="3">
        <f>C4+23.96</f>
        <v>231.79</v>
      </c>
      <c r="C5" s="3">
        <f>B5+D5</f>
        <v>291.52999999999997</v>
      </c>
      <c r="D5" s="2">
        <v>59.74</v>
      </c>
      <c r="E5" s="2">
        <v>4</v>
      </c>
      <c r="F5" s="2" t="s">
        <v>5</v>
      </c>
    </row>
    <row r="6" spans="1:6" x14ac:dyDescent="0.3">
      <c r="A6" s="2">
        <f t="shared" si="0"/>
        <v>4</v>
      </c>
      <c r="B6" s="3">
        <f>C5+62.39</f>
        <v>353.91999999999996</v>
      </c>
      <c r="C6" s="3">
        <f>B6+D6</f>
        <v>356.42999999999995</v>
      </c>
      <c r="D6" s="2">
        <v>2.5099999999999998</v>
      </c>
      <c r="E6" s="2">
        <v>4</v>
      </c>
      <c r="F6" s="2" t="s">
        <v>5</v>
      </c>
    </row>
    <row r="7" spans="1:6" x14ac:dyDescent="0.3">
      <c r="A7" s="2">
        <f t="shared" si="0"/>
        <v>5</v>
      </c>
      <c r="B7" s="3">
        <f>C6+49.85</f>
        <v>406.28</v>
      </c>
      <c r="C7" s="3">
        <f>B7+D7</f>
        <v>410.84</v>
      </c>
      <c r="D7" s="2">
        <v>4.5599999999999996</v>
      </c>
      <c r="E7" s="2">
        <v>4</v>
      </c>
      <c r="F7" s="2" t="s">
        <v>5</v>
      </c>
    </row>
    <row r="8" spans="1:6" x14ac:dyDescent="0.3">
      <c r="A8" s="2">
        <f t="shared" si="0"/>
        <v>6</v>
      </c>
      <c r="B8" s="3">
        <f>C7+53.81</f>
        <v>464.65</v>
      </c>
      <c r="C8" s="3">
        <f>B8+D8</f>
        <v>468.40999999999997</v>
      </c>
      <c r="D8" s="2">
        <v>3.76</v>
      </c>
      <c r="E8" s="2">
        <v>3</v>
      </c>
      <c r="F8" s="2" t="s">
        <v>5</v>
      </c>
    </row>
    <row r="9" spans="1:6" x14ac:dyDescent="0.3">
      <c r="A9" s="2">
        <f t="shared" si="0"/>
        <v>7</v>
      </c>
      <c r="B9" s="3">
        <f>C8+15.74</f>
        <v>484.15</v>
      </c>
      <c r="C9" s="3">
        <f>B9+D9</f>
        <v>489.78999999999996</v>
      </c>
      <c r="D9" s="2">
        <v>5.64</v>
      </c>
      <c r="E9" s="2">
        <v>3</v>
      </c>
      <c r="F9" s="2" t="s">
        <v>5</v>
      </c>
    </row>
    <row r="10" spans="1:6" x14ac:dyDescent="0.3">
      <c r="A10" s="2">
        <f t="shared" si="0"/>
        <v>8</v>
      </c>
      <c r="B10" s="3">
        <f>C9+66.01</f>
        <v>555.79999999999995</v>
      </c>
      <c r="C10" s="3">
        <f>B10+D10</f>
        <v>559.04999999999995</v>
      </c>
      <c r="D10" s="2">
        <v>3.25</v>
      </c>
      <c r="E10" s="2">
        <v>1</v>
      </c>
      <c r="F10" s="2" t="s">
        <v>7</v>
      </c>
    </row>
    <row r="11" spans="1:6" x14ac:dyDescent="0.3">
      <c r="A11" s="2">
        <f t="shared" si="0"/>
        <v>9</v>
      </c>
      <c r="B11" s="3">
        <f>C10+6.87</f>
        <v>565.91999999999996</v>
      </c>
      <c r="C11" s="3">
        <f>B11+D11</f>
        <v>570.68999999999994</v>
      </c>
      <c r="D11" s="2">
        <v>4.7699999999999996</v>
      </c>
      <c r="E11" s="2">
        <v>1</v>
      </c>
      <c r="F11" s="2" t="s">
        <v>7</v>
      </c>
    </row>
  </sheetData>
  <mergeCells count="2">
    <mergeCell ref="B2:C2"/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https://www.lehanhpc.net/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HẠNH™ PC</dc:creator>
  <cp:lastModifiedBy>LÊ HẠNH™ PC</cp:lastModifiedBy>
  <dcterms:created xsi:type="dcterms:W3CDTF">2026-05-29T23:37:37Z</dcterms:created>
  <dcterms:modified xsi:type="dcterms:W3CDTF">2026-06-14T01:32:14Z</dcterms:modified>
</cp:coreProperties>
</file>